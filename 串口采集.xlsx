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52" windowHeight="14055"/>
  </bookViews>
  <sheets>
    <sheet name="Sheet1" sheetId="1" r:id="rId1"/>
    <sheet name="WpsReserved_CellImgLis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75D11A5D6D44F47AE001B9CADBB908E" descr="微信截图_20230814102551"/>
        <xdr:cNvPicPr/>
      </xdr:nvPicPr>
      <xdr:blipFill>
        <a:blip r:embed="rId1"/>
        <a:srcRect/>
        <a:stretch>
          <a:fillRect/>
        </a:stretch>
      </xdr:blipFill>
      <xdr:spPr>
        <a:xfrm>
          <a:off x="0" y="0"/>
          <a:ext cx="1762125" cy="26384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</etc:cellImage>
</etc:cellImages>
</file>

<file path=xl/sharedStrings.xml><?xml version="1.0" encoding="utf-8"?>
<sst xmlns="http://schemas.openxmlformats.org/spreadsheetml/2006/main" count="284" uniqueCount="105">
  <si>
    <r>
      <rPr>
        <sz val="11"/>
        <rFont val="SimSun"/>
        <charset val="134"/>
      </rPr>
      <t>设备类型</t>
    </r>
  </si>
  <si>
    <r>
      <rPr>
        <sz val="11"/>
        <rFont val="SimSun"/>
        <charset val="134"/>
      </rPr>
      <t>品牌</t>
    </r>
  </si>
  <si>
    <r>
      <rPr>
        <sz val="11"/>
        <rFont val="SimSun"/>
        <charset val="134"/>
      </rPr>
      <t>型号</t>
    </r>
  </si>
  <si>
    <t>波特率</t>
  </si>
  <si>
    <t>数据位</t>
  </si>
  <si>
    <t>停止位</t>
  </si>
  <si>
    <t>校验位</t>
  </si>
  <si>
    <t>流控</t>
  </si>
  <si>
    <t>线材</t>
  </si>
  <si>
    <t>线序</t>
  </si>
  <si>
    <t>备注</t>
  </si>
  <si>
    <r>
      <rPr>
        <sz val="11"/>
        <rFont val="SimSun"/>
        <charset val="134"/>
      </rPr>
      <t>麻醉机</t>
    </r>
  </si>
  <si>
    <r>
      <rPr>
        <sz val="11"/>
        <rFont val="SimSun"/>
        <charset val="134"/>
      </rPr>
      <t>德尔格</t>
    </r>
  </si>
  <si>
    <r>
      <rPr>
        <sz val="11"/>
        <rFont val="SimSun"/>
        <charset val="134"/>
      </rPr>
      <t>Fabius plus</t>
    </r>
  </si>
  <si>
    <t xml:space="preserve"> 9600</t>
  </si>
  <si>
    <t>8</t>
  </si>
  <si>
    <t>1</t>
  </si>
  <si>
    <t>无</t>
  </si>
  <si>
    <r>
      <rPr>
        <sz val="11"/>
        <rFont val="SimSun"/>
        <charset val="134"/>
      </rPr>
      <t>GE</t>
    </r>
  </si>
  <si>
    <t>19200</t>
  </si>
  <si>
    <r>
      <rPr>
        <sz val="11"/>
        <rFont val="SimSun"/>
        <charset val="134"/>
      </rPr>
      <t>GE 欧美达</t>
    </r>
  </si>
  <si>
    <r>
      <rPr>
        <sz val="11"/>
        <rFont val="SimSun"/>
        <charset val="134"/>
      </rPr>
      <t>所有型号</t>
    </r>
  </si>
  <si>
    <t>7</t>
  </si>
  <si>
    <t>奇</t>
  </si>
  <si>
    <t>XON/XOFF</t>
  </si>
  <si>
    <t>15口转9口，或者15口转USB</t>
  </si>
  <si>
    <t>15转9后需要串联9转USB线材</t>
  </si>
  <si>
    <t xml:space="preserve">麻醉机 </t>
  </si>
  <si>
    <r>
      <rPr>
        <sz val="11"/>
        <rFont val="SimSun"/>
        <charset val="134"/>
      </rPr>
      <t>Maquet</t>
    </r>
  </si>
  <si>
    <r>
      <rPr>
        <sz val="11"/>
        <rFont val="SimSun"/>
        <charset val="134"/>
      </rPr>
      <t>flow</t>
    </r>
  </si>
  <si>
    <t>38400</t>
  </si>
  <si>
    <t>偶</t>
  </si>
  <si>
    <r>
      <rPr>
        <sz val="11"/>
        <rFont val="SimSun"/>
        <charset val="134"/>
      </rPr>
      <t>监护仪</t>
    </r>
  </si>
  <si>
    <r>
      <rPr>
        <sz val="11"/>
        <rFont val="SimSun"/>
        <charset val="134"/>
      </rPr>
      <t>vista XL/M540</t>
    </r>
  </si>
  <si>
    <r>
      <rPr>
        <sz val="11"/>
        <rFont val="SimSun"/>
        <charset val="134"/>
      </rPr>
      <t>vista 120</t>
    </r>
  </si>
  <si>
    <t>密码：ABC</t>
  </si>
  <si>
    <r>
      <rPr>
        <sz val="11"/>
        <rFont val="SimSun"/>
        <charset val="134"/>
      </rPr>
      <t>Dash</t>
    </r>
  </si>
  <si>
    <r>
      <rPr>
        <sz val="11"/>
        <rFont val="SimSun"/>
        <charset val="134"/>
      </rPr>
      <t>S5</t>
    </r>
  </si>
  <si>
    <t>RTSCTS</t>
  </si>
  <si>
    <r>
      <rPr>
        <sz val="11"/>
        <rFont val="SimSun"/>
        <charset val="134"/>
      </rPr>
      <t>日本光电</t>
    </r>
  </si>
  <si>
    <r>
      <rPr>
        <sz val="11"/>
        <rFont val="SimSun"/>
        <charset val="134"/>
      </rPr>
      <t>2352C</t>
    </r>
  </si>
  <si>
    <t>1/2</t>
  </si>
  <si>
    <t>科曼</t>
  </si>
  <si>
    <t>中央站</t>
  </si>
  <si>
    <t>4895</t>
  </si>
  <si>
    <t>监护仪</t>
  </si>
  <si>
    <t>德尔格</t>
  </si>
  <si>
    <t>infinity kappa</t>
  </si>
  <si>
    <t>none</t>
  </si>
  <si>
    <t>X5转母口线</t>
  </si>
  <si>
    <t>线只要产家有</t>
  </si>
  <si>
    <t>血气</t>
  </si>
  <si>
    <t>GEM5000</t>
  </si>
  <si>
    <t>9600</t>
  </si>
  <si>
    <t>母母交叉线</t>
  </si>
  <si>
    <t>注意：需要在血气机上面开放端口（密码123456）。有选择传输协议，有3000与4000选择哪个传输协议在选择驱动的时候就选择对应的驱动</t>
  </si>
  <si>
    <r>
      <rPr>
        <sz val="11"/>
        <rFont val="SimSun"/>
        <charset val="134"/>
      </rPr>
      <t>血气机</t>
    </r>
  </si>
  <si>
    <r>
      <rPr>
        <sz val="11"/>
        <rFont val="SimSun"/>
        <charset val="134"/>
      </rPr>
      <t>IL</t>
    </r>
  </si>
  <si>
    <t>GEM3000/3500/4000/5000</t>
  </si>
  <si>
    <r>
      <rPr>
        <sz val="11"/>
        <rFont val="SimSun"/>
        <charset val="134"/>
      </rPr>
      <t>呼吸机</t>
    </r>
  </si>
  <si>
    <r>
      <rPr>
        <sz val="11"/>
        <rFont val="SimSun"/>
        <charset val="134"/>
      </rPr>
      <t>迈瑞</t>
    </r>
  </si>
  <si>
    <r>
      <rPr>
        <sz val="11"/>
        <rFont val="SimSun"/>
        <charset val="134"/>
      </rPr>
      <t>SV300</t>
    </r>
  </si>
  <si>
    <t>57600</t>
  </si>
  <si>
    <r>
      <rPr>
        <sz val="11"/>
        <rFont val="SimSun"/>
        <charset val="134"/>
      </rPr>
      <t>谊安Aeon</t>
    </r>
  </si>
  <si>
    <r>
      <rPr>
        <sz val="11"/>
        <rFont val="SimSun"/>
        <charset val="134"/>
      </rPr>
      <t>590P</t>
    </r>
  </si>
  <si>
    <r>
      <rPr>
        <sz val="11"/>
        <rFont val="SimSun"/>
        <charset val="134"/>
      </rPr>
      <t>Carefusion</t>
    </r>
  </si>
  <si>
    <r>
      <rPr>
        <sz val="11"/>
        <rFont val="SimSun"/>
        <charset val="134"/>
      </rPr>
      <t>鸟牌Tbird Vela</t>
    </r>
  </si>
  <si>
    <t>网口转串口线</t>
  </si>
  <si>
    <r>
      <rPr>
        <sz val="11"/>
        <color rgb="FF000000"/>
        <rFont val="宋体"/>
        <charset val="204"/>
      </rPr>
      <t>网线引出其中的蓝白、棕白和蓝色线，分别接入串口头的</t>
    </r>
    <r>
      <rPr>
        <sz val="11"/>
        <color rgb="FF000000"/>
        <rFont val="Arial"/>
        <charset val="204"/>
      </rPr>
      <t xml:space="preserve"> 2 </t>
    </r>
    <r>
      <rPr>
        <sz val="11"/>
        <color rgb="FF000000"/>
        <rFont val="宋体"/>
        <charset val="204"/>
      </rPr>
      <t>号、</t>
    </r>
    <r>
      <rPr>
        <sz val="11"/>
        <color rgb="FF000000"/>
        <rFont val="Arial"/>
        <charset val="204"/>
      </rPr>
      <t xml:space="preserve">3 </t>
    </r>
    <r>
      <rPr>
        <sz val="11"/>
        <color rgb="FF000000"/>
        <rFont val="宋体"/>
        <charset val="204"/>
      </rPr>
      <t>号和</t>
    </r>
    <r>
      <rPr>
        <sz val="11"/>
        <color rgb="FF000000"/>
        <rFont val="Arial"/>
        <charset val="204"/>
      </rPr>
      <t xml:space="preserve">5 </t>
    </r>
    <r>
      <rPr>
        <sz val="11"/>
        <color rgb="FF000000"/>
        <rFont val="宋体"/>
        <charset val="204"/>
      </rPr>
      <t>号引脚。</t>
    </r>
  </si>
  <si>
    <r>
      <rPr>
        <sz val="11"/>
        <rFont val="SimSun"/>
        <charset val="134"/>
      </rPr>
      <t>Hamilton</t>
    </r>
  </si>
  <si>
    <r>
      <rPr>
        <sz val="11"/>
        <rFont val="SimSun"/>
        <charset val="134"/>
      </rPr>
      <t>全系列</t>
    </r>
  </si>
  <si>
    <t>Servo-i/s</t>
  </si>
  <si>
    <t>公母交叉线</t>
  </si>
  <si>
    <r>
      <rPr>
        <sz val="11"/>
        <rFont val="SimSun"/>
        <charset val="134"/>
      </rPr>
      <t>Evita XL</t>
    </r>
  </si>
  <si>
    <t>anviSa300</t>
  </si>
  <si>
    <r>
      <rPr>
        <sz val="11"/>
        <rFont val="SimSun"/>
        <charset val="134"/>
      </rPr>
      <t>NewPort</t>
    </r>
  </si>
  <si>
    <r>
      <rPr>
        <sz val="11"/>
        <rFont val="SimSun"/>
        <charset val="134"/>
      </rPr>
      <t>E360</t>
    </r>
  </si>
  <si>
    <r>
      <rPr>
        <sz val="11"/>
        <rFont val="SimSun"/>
        <charset val="134"/>
      </rPr>
      <t>PB</t>
    </r>
  </si>
  <si>
    <r>
      <rPr>
        <sz val="11"/>
        <rFont val="SimSun"/>
        <charset val="134"/>
      </rPr>
      <t>PB840</t>
    </r>
  </si>
  <si>
    <t>机器可设置/9600</t>
  </si>
  <si>
    <r>
      <rPr>
        <sz val="11"/>
        <rFont val="SimSun"/>
        <charset val="134"/>
      </rPr>
      <t>飞利浦</t>
    </r>
  </si>
  <si>
    <r>
      <rPr>
        <sz val="11"/>
        <rFont val="SimSun"/>
        <charset val="134"/>
      </rPr>
      <t>V60</t>
    </r>
  </si>
  <si>
    <r>
      <rPr>
        <sz val="11"/>
        <color rgb="FF000000"/>
        <rFont val="Arial"/>
        <charset val="204"/>
      </rPr>
      <t>9</t>
    </r>
    <r>
      <rPr>
        <sz val="11"/>
        <color rgb="FF000000"/>
        <rFont val="宋体"/>
        <charset val="204"/>
      </rPr>
      <t>转</t>
    </r>
    <r>
      <rPr>
        <sz val="11"/>
        <color rgb="FF000000"/>
        <rFont val="Arial"/>
        <charset val="204"/>
      </rPr>
      <t>25</t>
    </r>
  </si>
  <si>
    <r>
      <rPr>
        <sz val="11"/>
        <rFont val="SimSun"/>
        <charset val="134"/>
      </rPr>
      <t>V200</t>
    </r>
  </si>
  <si>
    <t>呼吸机</t>
  </si>
  <si>
    <t>evita 4 edition</t>
  </si>
  <si>
    <t>2</t>
  </si>
  <si>
    <t>even</t>
  </si>
  <si>
    <t>Engstrom Pro</t>
  </si>
  <si>
    <t>GE</t>
  </si>
  <si>
    <t>注意：串口只能插在显示屏后面的插孔，不能插机身后面的插孔</t>
  </si>
  <si>
    <t>柯惠</t>
  </si>
  <si>
    <t>PB840</t>
  </si>
  <si>
    <t>注意：需要在呼吸机上面设置对应的通讯协议，插的接口几就设置接口几</t>
  </si>
  <si>
    <t>谊安</t>
  </si>
  <si>
    <t>VG70</t>
  </si>
  <si>
    <t>屏幕侧边网口</t>
  </si>
  <si>
    <t>网线</t>
  </si>
  <si>
    <t>呼吸机和中转电脑一个局域网，中转电脑通局域网和医院内网，在呼吸机上本地连接配置局域网IP，远程ip填写中转电脑的局域网ip，端口自定义，在中转电脑上安装CCProxy，在CCProxy配置对应的ip和端口（离线注册地址：https://ask.zol.com.cn/x/1886990.html）</t>
  </si>
  <si>
    <t>密码：2764.此方法可以用于金科威60E</t>
  </si>
  <si>
    <t>航天长峰</t>
  </si>
  <si>
    <t>ATHENA8500</t>
  </si>
  <si>
    <t>驱动：Salvia  Elisa</t>
  </si>
  <si>
    <t>Savina300</t>
  </si>
  <si>
    <t>网口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</si>
</sst>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Arial"/>
      <charset val="134"/>
    </font>
    <font>
      <sz val="11"/>
      <color rgb="FF000000"/>
      <name val="Arial"/>
      <charset val="204"/>
    </font>
    <font>
      <sz val="11"/>
      <color rgb="FF000000"/>
      <name val="宋体"/>
      <charset val="204"/>
    </font>
    <font>
      <sz val="11"/>
      <color rgb="FF000000"/>
      <name val="Arial"/>
      <charset val="134"/>
    </font>
    <font>
      <sz val="11"/>
      <color rgb="FF000000"/>
      <name val="SimSun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7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5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40">
    <xf numFmtId="49" fontId="0" fillId="0" borderId="0" xfId="0" applyNumberFormat="1">
      <alignment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top" wrapText="1"/>
    </xf>
    <xf numFmtId="49" fontId="0" fillId="0" borderId="0" xfId="0" applyNumberFormat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49" fontId="1" fillId="0" borderId="8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1" fontId="3" fillId="0" borderId="4" xfId="0" applyNumberFormat="1" applyFont="1" applyFill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Fill="1" applyBorder="1" applyAlignment="1">
      <alignment horizontal="center" vertical="center" wrapText="1"/>
    </xf>
    <xf numFmtId="49" fontId="1" fillId="0" borderId="11" xfId="0" applyNumberFormat="1" applyFont="1" applyFill="1" applyBorder="1" applyAlignment="1">
      <alignment horizontal="center" vertical="center" wrapText="1"/>
    </xf>
    <xf numFmtId="49" fontId="1" fillId="0" borderId="12" xfId="0" applyNumberFormat="1" applyFont="1" applyFill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top" wrapText="1"/>
    </xf>
    <xf numFmtId="49" fontId="0" fillId="0" borderId="13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390525</xdr:colOff>
      <xdr:row>14</xdr:row>
      <xdr:rowOff>104775</xdr:rowOff>
    </xdr:to>
    <xdr:pic>
      <xdr:nvPicPr>
        <xdr:cNvPr id="2" name="ID_E75D11A5D6D44F47AE001B9CADBB908E" descr="微信截图_20230814102551"/>
        <xdr:cNvPicPr/>
      </xdr:nvPicPr>
      <xdr:blipFill>
        <a:blip r:embed="rId1"/>
        <a:srcRect/>
        <a:stretch>
          <a:fillRect/>
        </a:stretch>
      </xdr:blipFill>
      <xdr:spPr>
        <a:xfrm>
          <a:off x="0" y="0"/>
          <a:ext cx="1762125" cy="26384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abSelected="1" workbookViewId="0">
      <selection activeCell="J30" sqref="J30"/>
    </sheetView>
  </sheetViews>
  <sheetFormatPr defaultColWidth="22" defaultRowHeight="14.25"/>
  <cols>
    <col min="1" max="1" width="7.875" customWidth="1"/>
    <col min="2" max="2" width="34" style="2" customWidth="1"/>
    <col min="3" max="3" width="28.7583333333333" customWidth="1"/>
    <col min="4" max="4" width="21.5666666666667" style="3" customWidth="1"/>
    <col min="5" max="5" width="16.5666666666667" customWidth="1"/>
    <col min="6" max="6" width="22.5666666666667" customWidth="1"/>
    <col min="7" max="7" width="14.0666666666667" customWidth="1"/>
    <col min="8" max="8" width="9.94166666666667" customWidth="1"/>
    <col min="9" max="9" width="11.5" customWidth="1"/>
    <col min="10" max="10" width="65.5666666666667" style="4" customWidth="1"/>
    <col min="11" max="11" width="22.125" style="4" customWidth="1"/>
    <col min="12" max="16384" width="22.125" customWidth="1"/>
  </cols>
  <sheetData>
    <row r="1" ht="27" spans="1:11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8" t="s">
        <v>10</v>
      </c>
    </row>
    <row r="2" spans="1:11">
      <c r="A2" s="5" t="s">
        <v>11</v>
      </c>
      <c r="B2" s="5" t="s">
        <v>12</v>
      </c>
      <c r="C2" s="5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17</v>
      </c>
      <c r="I2" s="9"/>
      <c r="J2" s="10"/>
      <c r="K2" s="11"/>
    </row>
    <row r="3" spans="1:11">
      <c r="A3" s="5" t="s">
        <v>11</v>
      </c>
      <c r="B3" s="5" t="s">
        <v>18</v>
      </c>
      <c r="C3" s="12">
        <v>9100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17</v>
      </c>
      <c r="I3" s="9"/>
      <c r="J3" s="10"/>
      <c r="K3" s="11"/>
    </row>
    <row r="4" spans="1:11">
      <c r="A4" s="5" t="s">
        <v>11</v>
      </c>
      <c r="B4" s="5" t="s">
        <v>18</v>
      </c>
      <c r="C4" s="12">
        <v>9300</v>
      </c>
      <c r="D4" s="9" t="s">
        <v>19</v>
      </c>
      <c r="E4" s="9" t="s">
        <v>15</v>
      </c>
      <c r="F4" s="9" t="s">
        <v>16</v>
      </c>
      <c r="G4" s="9" t="s">
        <v>17</v>
      </c>
      <c r="H4" s="9" t="s">
        <v>17</v>
      </c>
      <c r="I4" s="9"/>
      <c r="J4" s="10"/>
      <c r="K4" s="11"/>
    </row>
    <row r="5" ht="42.75" spans="1:11">
      <c r="A5" s="5" t="s">
        <v>11</v>
      </c>
      <c r="B5" s="5" t="s">
        <v>20</v>
      </c>
      <c r="C5" s="5" t="s">
        <v>21</v>
      </c>
      <c r="D5" s="9" t="s">
        <v>19</v>
      </c>
      <c r="E5" s="9" t="s">
        <v>22</v>
      </c>
      <c r="F5" s="9" t="s">
        <v>16</v>
      </c>
      <c r="G5" s="9" t="s">
        <v>23</v>
      </c>
      <c r="H5" s="9" t="s">
        <v>24</v>
      </c>
      <c r="I5" s="9" t="s">
        <v>25</v>
      </c>
      <c r="J5" s="10"/>
      <c r="K5" s="11" t="s">
        <v>26</v>
      </c>
    </row>
    <row r="6" spans="1:11">
      <c r="A6" s="13" t="s">
        <v>27</v>
      </c>
      <c r="B6" s="5" t="s">
        <v>28</v>
      </c>
      <c r="C6" s="5" t="s">
        <v>29</v>
      </c>
      <c r="D6" s="9" t="s">
        <v>30</v>
      </c>
      <c r="E6" s="9" t="s">
        <v>15</v>
      </c>
      <c r="F6" s="9" t="s">
        <v>16</v>
      </c>
      <c r="G6" s="9" t="s">
        <v>31</v>
      </c>
      <c r="H6" s="9" t="s">
        <v>17</v>
      </c>
      <c r="I6" s="9"/>
      <c r="J6" s="10"/>
      <c r="K6" s="11"/>
    </row>
    <row r="7" spans="1:11">
      <c r="A7" s="5"/>
      <c r="B7" s="5"/>
      <c r="C7" s="5"/>
      <c r="D7" s="9"/>
      <c r="E7" s="9"/>
      <c r="F7" s="9"/>
      <c r="G7" s="9"/>
      <c r="H7" s="9"/>
      <c r="I7" s="9"/>
      <c r="J7" s="10"/>
      <c r="K7" s="11"/>
    </row>
    <row r="8" spans="1:11">
      <c r="A8" s="5"/>
      <c r="B8" s="5"/>
      <c r="C8" s="5"/>
      <c r="D8" s="9"/>
      <c r="E8" s="9"/>
      <c r="F8" s="9"/>
      <c r="G8" s="9"/>
      <c r="H8" s="9"/>
      <c r="I8" s="9"/>
      <c r="J8" s="10"/>
      <c r="K8" s="11"/>
    </row>
    <row r="9" spans="1:11">
      <c r="A9" s="5"/>
      <c r="B9" s="5"/>
      <c r="C9" s="5"/>
      <c r="D9" s="9"/>
      <c r="E9" s="9"/>
      <c r="F9" s="9"/>
      <c r="G9" s="9"/>
      <c r="H9" s="9"/>
      <c r="I9" s="9"/>
      <c r="J9" s="10"/>
      <c r="K9" s="11"/>
    </row>
    <row r="10" spans="1:11">
      <c r="A10" s="5"/>
      <c r="B10" s="5"/>
      <c r="C10" s="5"/>
      <c r="D10" s="9"/>
      <c r="E10" s="9"/>
      <c r="F10" s="9"/>
      <c r="G10" s="9"/>
      <c r="H10" s="9"/>
      <c r="I10" s="9"/>
      <c r="J10" s="10"/>
      <c r="K10" s="11"/>
    </row>
    <row r="11" spans="1:11">
      <c r="A11" s="5" t="s">
        <v>32</v>
      </c>
      <c r="B11" s="5" t="s">
        <v>12</v>
      </c>
      <c r="C11" s="5" t="s">
        <v>33</v>
      </c>
      <c r="D11" s="9" t="s">
        <v>19</v>
      </c>
      <c r="E11" s="9" t="s">
        <v>15</v>
      </c>
      <c r="F11" s="9" t="s">
        <v>16</v>
      </c>
      <c r="G11" s="9" t="s">
        <v>17</v>
      </c>
      <c r="H11" s="9" t="s">
        <v>17</v>
      </c>
      <c r="I11" s="9"/>
      <c r="J11" s="10"/>
      <c r="K11" s="8"/>
    </row>
    <row r="12" spans="1:11">
      <c r="A12" s="5" t="s">
        <v>32</v>
      </c>
      <c r="B12" s="5" t="s">
        <v>12</v>
      </c>
      <c r="C12" s="5" t="s">
        <v>34</v>
      </c>
      <c r="D12" s="9" t="s">
        <v>19</v>
      </c>
      <c r="E12" s="9" t="s">
        <v>15</v>
      </c>
      <c r="F12" s="9" t="s">
        <v>16</v>
      </c>
      <c r="G12" s="9" t="s">
        <v>17</v>
      </c>
      <c r="H12" s="9" t="s">
        <v>17</v>
      </c>
      <c r="I12" s="9"/>
      <c r="J12" s="10"/>
      <c r="K12" s="8" t="s">
        <v>35</v>
      </c>
    </row>
    <row r="13" spans="1:11">
      <c r="A13" s="5" t="s">
        <v>32</v>
      </c>
      <c r="B13" s="5" t="s">
        <v>18</v>
      </c>
      <c r="C13" s="5" t="s">
        <v>36</v>
      </c>
      <c r="D13" s="9" t="s">
        <v>14</v>
      </c>
      <c r="E13" s="9" t="s">
        <v>15</v>
      </c>
      <c r="F13" s="9" t="s">
        <v>16</v>
      </c>
      <c r="G13" s="9" t="s">
        <v>17</v>
      </c>
      <c r="H13" s="9" t="s">
        <v>17</v>
      </c>
      <c r="I13" s="9"/>
      <c r="J13" s="10"/>
      <c r="K13" s="11"/>
    </row>
    <row r="14" spans="1:11">
      <c r="A14" s="5" t="s">
        <v>32</v>
      </c>
      <c r="B14" s="5" t="s">
        <v>18</v>
      </c>
      <c r="C14" s="5" t="s">
        <v>37</v>
      </c>
      <c r="D14" s="9" t="s">
        <v>19</v>
      </c>
      <c r="E14" s="9" t="s">
        <v>15</v>
      </c>
      <c r="F14" s="9" t="s">
        <v>16</v>
      </c>
      <c r="G14" s="9" t="s">
        <v>31</v>
      </c>
      <c r="H14" s="9" t="s">
        <v>38</v>
      </c>
      <c r="I14" s="9"/>
      <c r="J14" s="10"/>
      <c r="K14" s="11"/>
    </row>
    <row r="15" spans="1:11">
      <c r="A15" s="5" t="s">
        <v>32</v>
      </c>
      <c r="B15" s="5" t="s">
        <v>39</v>
      </c>
      <c r="C15" s="5" t="s">
        <v>40</v>
      </c>
      <c r="D15" s="9" t="s">
        <v>14</v>
      </c>
      <c r="E15" s="9" t="s">
        <v>15</v>
      </c>
      <c r="F15" s="9" t="s">
        <v>41</v>
      </c>
      <c r="G15" s="9" t="s">
        <v>17</v>
      </c>
      <c r="H15" s="9" t="s">
        <v>17</v>
      </c>
      <c r="I15" s="9"/>
      <c r="J15" s="10"/>
      <c r="K15" s="11"/>
    </row>
    <row r="16" spans="1:11">
      <c r="A16" s="5" t="s">
        <v>32</v>
      </c>
      <c r="B16" s="5" t="s">
        <v>42</v>
      </c>
      <c r="C16" s="5" t="s">
        <v>43</v>
      </c>
      <c r="D16" s="9" t="s">
        <v>44</v>
      </c>
      <c r="E16" s="9"/>
      <c r="F16" s="9"/>
      <c r="G16" s="9"/>
      <c r="H16" s="9"/>
      <c r="I16" s="9"/>
      <c r="J16" s="10"/>
      <c r="K16" s="11"/>
    </row>
    <row r="17" customFormat="1" spans="1:11">
      <c r="A17" s="14" t="s">
        <v>45</v>
      </c>
      <c r="B17" s="14" t="s">
        <v>46</v>
      </c>
      <c r="C17" s="14" t="s">
        <v>47</v>
      </c>
      <c r="D17" s="14" t="s">
        <v>19</v>
      </c>
      <c r="E17" s="14" t="s">
        <v>15</v>
      </c>
      <c r="F17" s="14" t="s">
        <v>16</v>
      </c>
      <c r="G17" s="14" t="s">
        <v>48</v>
      </c>
      <c r="H17" s="14" t="s">
        <v>48</v>
      </c>
      <c r="I17" s="14" t="s">
        <v>49</v>
      </c>
      <c r="J17" s="15" t="s">
        <v>50</v>
      </c>
      <c r="K17" s="11"/>
    </row>
    <row r="18" spans="1:11">
      <c r="A18" s="5"/>
      <c r="B18" s="5"/>
      <c r="C18" s="13"/>
      <c r="D18" s="9"/>
      <c r="E18" s="9"/>
      <c r="F18" s="9"/>
      <c r="G18" s="9"/>
      <c r="H18" s="6"/>
      <c r="I18" s="6"/>
      <c r="J18" s="10"/>
      <c r="K18" s="11"/>
    </row>
    <row r="19" spans="1:11">
      <c r="A19" s="5"/>
      <c r="B19" s="5"/>
      <c r="C19" s="13"/>
      <c r="D19" s="9"/>
      <c r="E19" s="9"/>
      <c r="F19" s="9"/>
      <c r="G19" s="9"/>
      <c r="H19" s="6"/>
      <c r="I19" s="6"/>
      <c r="J19" s="10"/>
      <c r="K19" s="11"/>
    </row>
    <row r="20" spans="1:11">
      <c r="A20" s="16"/>
      <c r="B20" s="16"/>
      <c r="C20" s="17"/>
      <c r="D20" s="18"/>
      <c r="E20" s="18"/>
      <c r="F20" s="18"/>
      <c r="G20" s="18"/>
      <c r="H20" s="19"/>
      <c r="I20" s="19"/>
      <c r="J20" s="20"/>
      <c r="K20" s="11"/>
    </row>
    <row r="21" ht="28.5" spans="1:11">
      <c r="A21" s="21" t="s">
        <v>51</v>
      </c>
      <c r="B21" s="21" t="s">
        <v>52</v>
      </c>
      <c r="C21" s="21"/>
      <c r="D21" s="14" t="s">
        <v>53</v>
      </c>
      <c r="E21" s="21" t="s">
        <v>15</v>
      </c>
      <c r="F21" s="21" t="s">
        <v>16</v>
      </c>
      <c r="G21" s="21" t="s">
        <v>17</v>
      </c>
      <c r="H21" s="21" t="s">
        <v>17</v>
      </c>
      <c r="I21" s="21" t="s">
        <v>54</v>
      </c>
      <c r="J21" s="22" t="s">
        <v>55</v>
      </c>
      <c r="K21" s="11"/>
    </row>
    <row r="22" spans="1:11">
      <c r="A22" s="23" t="s">
        <v>56</v>
      </c>
      <c r="B22" s="23" t="s">
        <v>57</v>
      </c>
      <c r="C22" s="24" t="s">
        <v>58</v>
      </c>
      <c r="D22" s="25" t="s">
        <v>14</v>
      </c>
      <c r="E22" s="25" t="s">
        <v>15</v>
      </c>
      <c r="F22" s="25" t="s">
        <v>16</v>
      </c>
      <c r="G22" s="25" t="s">
        <v>17</v>
      </c>
      <c r="H22" s="26" t="s">
        <v>17</v>
      </c>
      <c r="I22" s="26" t="s">
        <v>54</v>
      </c>
      <c r="J22" s="27"/>
      <c r="K22" s="11"/>
    </row>
    <row r="23" spans="1:11">
      <c r="A23" s="5"/>
      <c r="B23" s="5"/>
      <c r="C23" s="5"/>
      <c r="D23" s="9"/>
      <c r="E23" s="9"/>
      <c r="F23" s="9"/>
      <c r="G23" s="9"/>
      <c r="H23" s="9"/>
      <c r="I23" s="9"/>
      <c r="J23" s="10"/>
      <c r="K23" s="11"/>
    </row>
    <row r="24" spans="1:11">
      <c r="A24" s="5"/>
      <c r="B24" s="5"/>
      <c r="C24" s="5"/>
      <c r="D24" s="9"/>
      <c r="E24" s="9"/>
      <c r="F24" s="9"/>
      <c r="G24" s="9"/>
      <c r="H24" s="9"/>
      <c r="I24" s="9"/>
      <c r="J24" s="10"/>
      <c r="K24" s="11"/>
    </row>
    <row r="25" spans="1:11">
      <c r="A25" s="5" t="s">
        <v>59</v>
      </c>
      <c r="B25" s="5" t="s">
        <v>60</v>
      </c>
      <c r="C25" s="5" t="s">
        <v>61</v>
      </c>
      <c r="D25" s="9" t="s">
        <v>62</v>
      </c>
      <c r="E25" s="9" t="s">
        <v>15</v>
      </c>
      <c r="F25" s="9" t="s">
        <v>16</v>
      </c>
      <c r="G25" s="9" t="s">
        <v>17</v>
      </c>
      <c r="H25" s="6" t="s">
        <v>17</v>
      </c>
      <c r="I25" s="6" t="s">
        <v>54</v>
      </c>
      <c r="J25" s="10"/>
      <c r="K25" s="11"/>
    </row>
    <row r="26" spans="1:11">
      <c r="A26" s="5" t="s">
        <v>59</v>
      </c>
      <c r="B26" s="5" t="s">
        <v>63</v>
      </c>
      <c r="C26" s="5" t="s">
        <v>64</v>
      </c>
      <c r="D26" s="9" t="s">
        <v>19</v>
      </c>
      <c r="E26" s="9" t="s">
        <v>15</v>
      </c>
      <c r="F26" s="9" t="s">
        <v>16</v>
      </c>
      <c r="G26" s="9" t="s">
        <v>17</v>
      </c>
      <c r="H26" s="9" t="s">
        <v>17</v>
      </c>
      <c r="I26" s="9"/>
      <c r="J26" s="10"/>
      <c r="K26" s="11"/>
    </row>
    <row r="27" ht="47.25" customHeight="1" spans="1:11">
      <c r="A27" s="5" t="s">
        <v>59</v>
      </c>
      <c r="B27" s="5" t="s">
        <v>65</v>
      </c>
      <c r="C27" s="5" t="s">
        <v>66</v>
      </c>
      <c r="D27" s="9" t="s">
        <v>30</v>
      </c>
      <c r="E27" s="9" t="s">
        <v>15</v>
      </c>
      <c r="F27" s="9" t="s">
        <v>16</v>
      </c>
      <c r="G27" s="9" t="s">
        <v>17</v>
      </c>
      <c r="H27" s="6" t="s">
        <v>17</v>
      </c>
      <c r="I27" s="6" t="s">
        <v>67</v>
      </c>
      <c r="J27" s="7" t="s">
        <v>68</v>
      </c>
      <c r="K27" s="11"/>
    </row>
    <row r="28" spans="1:11">
      <c r="A28" s="5" t="s">
        <v>59</v>
      </c>
      <c r="B28" s="5" t="s">
        <v>69</v>
      </c>
      <c r="C28" s="5" t="s">
        <v>70</v>
      </c>
      <c r="D28" s="9" t="s">
        <v>30</v>
      </c>
      <c r="E28" s="9" t="s">
        <v>15</v>
      </c>
      <c r="F28" s="9" t="s">
        <v>16</v>
      </c>
      <c r="G28" s="9" t="s">
        <v>17</v>
      </c>
      <c r="H28" s="9" t="s">
        <v>17</v>
      </c>
      <c r="I28" s="9"/>
      <c r="J28" s="10"/>
      <c r="K28" s="11"/>
    </row>
    <row r="29" spans="1:11">
      <c r="A29" s="5" t="s">
        <v>59</v>
      </c>
      <c r="B29" s="5" t="s">
        <v>28</v>
      </c>
      <c r="C29" s="13" t="s">
        <v>71</v>
      </c>
      <c r="D29" s="9" t="s">
        <v>14</v>
      </c>
      <c r="E29" s="9" t="s">
        <v>15</v>
      </c>
      <c r="F29" s="9" t="s">
        <v>16</v>
      </c>
      <c r="G29" s="6" t="s">
        <v>31</v>
      </c>
      <c r="H29" s="9" t="s">
        <v>17</v>
      </c>
      <c r="I29" s="9" t="s">
        <v>72</v>
      </c>
      <c r="J29" s="10"/>
      <c r="K29" s="11"/>
    </row>
    <row r="30" spans="1:11">
      <c r="A30" s="5" t="s">
        <v>59</v>
      </c>
      <c r="B30" s="5" t="s">
        <v>12</v>
      </c>
      <c r="C30" s="5" t="s">
        <v>73</v>
      </c>
      <c r="D30" s="9" t="s">
        <v>14</v>
      </c>
      <c r="E30" s="9" t="s">
        <v>15</v>
      </c>
      <c r="F30" s="9" t="s">
        <v>16</v>
      </c>
      <c r="G30" s="6" t="s">
        <v>17</v>
      </c>
      <c r="H30" s="9" t="s">
        <v>17</v>
      </c>
      <c r="I30" s="6" t="s">
        <v>72</v>
      </c>
      <c r="J30" s="10"/>
      <c r="K30" s="11"/>
    </row>
    <row r="31" ht="13.55" customHeight="1" spans="1:11">
      <c r="A31" s="5" t="s">
        <v>59</v>
      </c>
      <c r="B31" s="5" t="s">
        <v>12</v>
      </c>
      <c r="C31" s="5" t="s">
        <v>74</v>
      </c>
      <c r="D31" s="9" t="s">
        <v>14</v>
      </c>
      <c r="E31" s="9" t="s">
        <v>15</v>
      </c>
      <c r="F31" s="9" t="s">
        <v>16</v>
      </c>
      <c r="G31" s="6" t="s">
        <v>17</v>
      </c>
      <c r="H31" s="9" t="s">
        <v>17</v>
      </c>
      <c r="I31" s="6" t="s">
        <v>72</v>
      </c>
      <c r="J31" s="10"/>
      <c r="K31" s="11"/>
    </row>
    <row r="32" spans="1:11">
      <c r="A32" s="5" t="s">
        <v>59</v>
      </c>
      <c r="B32" s="5" t="s">
        <v>60</v>
      </c>
      <c r="C32" s="5" t="s">
        <v>70</v>
      </c>
      <c r="D32" s="9" t="s">
        <v>62</v>
      </c>
      <c r="E32" s="9" t="s">
        <v>15</v>
      </c>
      <c r="F32" s="9" t="s">
        <v>16</v>
      </c>
      <c r="G32" s="6" t="s">
        <v>17</v>
      </c>
      <c r="H32" s="9" t="s">
        <v>17</v>
      </c>
      <c r="I32" s="9"/>
      <c r="J32" s="10"/>
      <c r="K32" s="11"/>
    </row>
    <row r="33" spans="1:11">
      <c r="A33" s="5" t="s">
        <v>59</v>
      </c>
      <c r="B33" s="5" t="s">
        <v>75</v>
      </c>
      <c r="C33" s="5" t="s">
        <v>76</v>
      </c>
      <c r="D33" s="9" t="s">
        <v>30</v>
      </c>
      <c r="E33" s="9" t="s">
        <v>15</v>
      </c>
      <c r="F33" s="9" t="s">
        <v>16</v>
      </c>
      <c r="G33" s="6" t="s">
        <v>17</v>
      </c>
      <c r="H33" s="9" t="s">
        <v>17</v>
      </c>
      <c r="I33" s="9" t="s">
        <v>72</v>
      </c>
      <c r="J33" s="10"/>
      <c r="K33" s="11"/>
    </row>
    <row r="34" spans="1:11">
      <c r="A34" s="5" t="s">
        <v>59</v>
      </c>
      <c r="B34" s="5" t="s">
        <v>77</v>
      </c>
      <c r="C34" s="5" t="s">
        <v>78</v>
      </c>
      <c r="D34" s="6" t="s">
        <v>79</v>
      </c>
      <c r="E34" s="9" t="s">
        <v>22</v>
      </c>
      <c r="F34" s="9" t="s">
        <v>16</v>
      </c>
      <c r="G34" s="9" t="s">
        <v>31</v>
      </c>
      <c r="H34" s="2"/>
      <c r="I34" s="6" t="s">
        <v>54</v>
      </c>
      <c r="J34" s="10"/>
      <c r="K34" s="11"/>
    </row>
    <row r="35" ht="210" spans="1:11">
      <c r="A35" s="5" t="s">
        <v>59</v>
      </c>
      <c r="B35" s="5" t="s">
        <v>80</v>
      </c>
      <c r="C35" s="5" t="s">
        <v>81</v>
      </c>
      <c r="D35" s="12">
        <v>19200</v>
      </c>
      <c r="E35" s="9" t="s">
        <v>15</v>
      </c>
      <c r="F35" s="9" t="s">
        <v>16</v>
      </c>
      <c r="G35" s="6" t="s">
        <v>17</v>
      </c>
      <c r="H35" s="9" t="s">
        <v>17</v>
      </c>
      <c r="I35" s="9" t="s">
        <v>82</v>
      </c>
      <c r="J35" s="28" t="str">
        <f>_xlfn.DISPIMG("ID_E75D11A5D6D44F47AE001B9CADBB908E",1)</f>
        <v>=DISPIMG("ID_E75D11A5D6D44F47AE001B9CADBB908E",1)</v>
      </c>
      <c r="K35" s="11"/>
    </row>
    <row r="36" spans="1:11">
      <c r="A36" s="16" t="s">
        <v>59</v>
      </c>
      <c r="B36" s="16" t="s">
        <v>80</v>
      </c>
      <c r="C36" s="16" t="s">
        <v>83</v>
      </c>
      <c r="D36" s="29">
        <v>19200</v>
      </c>
      <c r="E36" s="18" t="s">
        <v>15</v>
      </c>
      <c r="F36" s="18" t="s">
        <v>16</v>
      </c>
      <c r="G36" s="19" t="s">
        <v>17</v>
      </c>
      <c r="H36" s="18" t="s">
        <v>17</v>
      </c>
      <c r="I36" s="18"/>
      <c r="J36" s="20"/>
      <c r="K36" s="11"/>
    </row>
    <row r="37" customFormat="1" spans="1:11">
      <c r="A37" s="14" t="s">
        <v>84</v>
      </c>
      <c r="B37" s="14" t="s">
        <v>46</v>
      </c>
      <c r="C37" s="14" t="s">
        <v>85</v>
      </c>
      <c r="D37" s="14" t="s">
        <v>53</v>
      </c>
      <c r="E37" s="14" t="s">
        <v>15</v>
      </c>
      <c r="F37" s="14" t="s">
        <v>86</v>
      </c>
      <c r="G37" s="14" t="s">
        <v>87</v>
      </c>
      <c r="H37" s="14" t="s">
        <v>48</v>
      </c>
      <c r="I37" s="14" t="s">
        <v>72</v>
      </c>
      <c r="J37" s="22"/>
      <c r="K37" s="11"/>
    </row>
    <row r="38" spans="1:11">
      <c r="A38" s="21" t="s">
        <v>84</v>
      </c>
      <c r="B38" s="21" t="s">
        <v>88</v>
      </c>
      <c r="C38" s="21" t="s">
        <v>89</v>
      </c>
      <c r="D38" s="14" t="s">
        <v>19</v>
      </c>
      <c r="E38" s="21" t="s">
        <v>22</v>
      </c>
      <c r="F38" s="21" t="s">
        <v>16</v>
      </c>
      <c r="G38" s="21" t="s">
        <v>23</v>
      </c>
      <c r="H38" s="21" t="s">
        <v>17</v>
      </c>
      <c r="I38" s="21" t="s">
        <v>72</v>
      </c>
      <c r="J38" s="22" t="s">
        <v>90</v>
      </c>
      <c r="K38" s="11"/>
    </row>
    <row r="39" spans="1:11">
      <c r="A39" s="21" t="s">
        <v>84</v>
      </c>
      <c r="B39" s="21" t="s">
        <v>91</v>
      </c>
      <c r="C39" s="21" t="s">
        <v>92</v>
      </c>
      <c r="D39" s="14" t="s">
        <v>53</v>
      </c>
      <c r="E39" s="21" t="s">
        <v>15</v>
      </c>
      <c r="F39" s="21" t="s">
        <v>16</v>
      </c>
      <c r="G39" s="21" t="s">
        <v>48</v>
      </c>
      <c r="H39" s="21" t="s">
        <v>17</v>
      </c>
      <c r="I39" s="21" t="s">
        <v>54</v>
      </c>
      <c r="J39" s="22" t="s">
        <v>93</v>
      </c>
      <c r="K39" s="11"/>
    </row>
    <row r="40" ht="56.25" spans="1:11">
      <c r="A40" s="30" t="s">
        <v>84</v>
      </c>
      <c r="B40" s="30" t="s">
        <v>94</v>
      </c>
      <c r="C40" s="30" t="s">
        <v>95</v>
      </c>
      <c r="D40" s="31" t="s">
        <v>96</v>
      </c>
      <c r="E40" s="32"/>
      <c r="F40" s="32"/>
      <c r="G40" s="33"/>
      <c r="H40" s="34"/>
      <c r="I40" s="30" t="s">
        <v>97</v>
      </c>
      <c r="J40" s="35" t="s">
        <v>98</v>
      </c>
      <c r="K40" s="36" t="s">
        <v>99</v>
      </c>
    </row>
    <row r="41" s="1" customFormat="1" spans="1:11">
      <c r="A41" s="37" t="s">
        <v>84</v>
      </c>
      <c r="B41" s="21" t="s">
        <v>100</v>
      </c>
      <c r="C41" s="21" t="s">
        <v>101</v>
      </c>
      <c r="D41" s="38" t="s">
        <v>19</v>
      </c>
      <c r="E41" s="21" t="s">
        <v>22</v>
      </c>
      <c r="F41" s="21" t="s">
        <v>16</v>
      </c>
      <c r="G41" s="21" t="s">
        <v>23</v>
      </c>
      <c r="H41" s="21" t="s">
        <v>17</v>
      </c>
      <c r="I41" s="21" t="s">
        <v>72</v>
      </c>
      <c r="J41" s="11"/>
      <c r="K41" s="8" t="s">
        <v>102</v>
      </c>
    </row>
    <row r="42" customFormat="1" spans="1:11">
      <c r="A42" s="23" t="s">
        <v>59</v>
      </c>
      <c r="B42" s="23" t="s">
        <v>12</v>
      </c>
      <c r="C42" s="23" t="s">
        <v>103</v>
      </c>
      <c r="D42" s="25" t="s">
        <v>19</v>
      </c>
      <c r="E42" s="25" t="s">
        <v>15</v>
      </c>
      <c r="F42" s="25" t="s">
        <v>16</v>
      </c>
      <c r="G42" s="26" t="s">
        <v>17</v>
      </c>
      <c r="H42" s="25" t="s">
        <v>17</v>
      </c>
      <c r="I42" s="26" t="s">
        <v>72</v>
      </c>
      <c r="J42" s="27"/>
      <c r="K42" s="39"/>
    </row>
    <row r="43" spans="1:11">
      <c r="A43" t="s">
        <v>84</v>
      </c>
      <c r="B43" s="2" t="s">
        <v>42</v>
      </c>
      <c r="C43" t="s">
        <v>104</v>
      </c>
    </row>
  </sheetData>
  <sheetProtection formatCells="0" insertHyperlinks="0" autoFilter="0"/>
  <mergeCells count="1">
    <mergeCell ref="D40:G4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hyperlinks>
        <hyperlink ref="J40">
          <hypersublink pos="110" length="37" display="https://ask.zol.com.cn/x/1886990.html" address="https://ask.zol.com.cn/x/1886990.html" subaddress="" screenTip="" linkrunstype="LRTURL"/>
        </hyperlink>
      </hyperlinks>
      <cellprotection/>
      <appEtDbRelations/>
    </woSheetProps>
  </woSheetsProps>
  <woBookProps>
    <bookSettings fileId="247091089659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WWO_wpscloud_20260203193444-fc5022c9a8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23078RKD5C</dc:creator>
  <cp:lastModifiedBy>秦胜</cp:lastModifiedBy>
  <dcterms:created xsi:type="dcterms:W3CDTF">2022-07-27T11:09:00Z</dcterms:created>
  <dcterms:modified xsi:type="dcterms:W3CDTF">2024-06-24T02:28:00Z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ICV">
    <vt:lpwstr>4698BAFF4C4D43B4A8FDF6AE878497B3_13</vt:lpwstr>
  </property>
  <property fmtid="{D5CDD505-2E9C-101B-9397-08002B2CF9AE}" pid="4" name="KSOProductBuildVer">
    <vt:lpwstr>2052-12.9.0.25280</vt:lpwstr>
  </property>
  <property fmtid="{D5CDD505-2E9C-101B-9397-08002B2CF9AE}" pid="5" name="Created">
    <vt:filetime>2023-08-20T02:03:12Z</vt:filetime>
  </property>
  <property fmtid="{D5CDD505-2E9C-101B-9397-08002B2CF9AE}" pid="6" name="CalculationRule">
    <vt:i4>0</vt:i4>
  </property>
</Properties>
</file>